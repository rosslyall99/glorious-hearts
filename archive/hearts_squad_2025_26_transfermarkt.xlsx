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7e3bf3718f11dec/Desktop/"/>
    </mc:Choice>
  </mc:AlternateContent>
  <xr:revisionPtr revIDLastSave="81" documentId="11_1F31C2E45F9311DC934A50C08565313DC8FCF7AF" xr6:coauthVersionLast="47" xr6:coauthVersionMax="47" xr10:uidLastSave="{7B5A9C5E-5171-4BBE-93F2-18F7DA196CC8}"/>
  <bookViews>
    <workbookView xWindow="28680" yWindow="-120" windowWidth="29040" windowHeight="16440" xr2:uid="{00000000-000D-0000-FFFF-FFFF00000000}"/>
  </bookViews>
  <sheets>
    <sheet name="Hearts Squad 20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G3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<sst xmlns="http://schemas.openxmlformats.org/spreadsheetml/2006/main" count="331" uniqueCount="201">
  <si>
    <t>Squad No</t>
  </si>
  <si>
    <t>Player</t>
  </si>
  <si>
    <t>Surname Sort</t>
  </si>
  <si>
    <t>Position</t>
  </si>
  <si>
    <t>Position Group</t>
  </si>
  <si>
    <t>Date of Birth</t>
  </si>
  <si>
    <t>Age</t>
  </si>
  <si>
    <t>Height</t>
  </si>
  <si>
    <t>Foot</t>
  </si>
  <si>
    <t>Joined</t>
  </si>
  <si>
    <t>Contract Until</t>
  </si>
  <si>
    <t>Market Value</t>
  </si>
  <si>
    <t>Goals</t>
  </si>
  <si>
    <t>Assists</t>
  </si>
  <si>
    <t>Yellow Cards</t>
  </si>
  <si>
    <t>Second Yellow</t>
  </si>
  <si>
    <t>Red Cards</t>
  </si>
  <si>
    <t>Subbed On</t>
  </si>
  <si>
    <t>Subbed Off</t>
  </si>
  <si>
    <t>Minutes</t>
  </si>
  <si>
    <t>Ryan Fulton</t>
  </si>
  <si>
    <t>Fulton</t>
  </si>
  <si>
    <t>Goalkeeper</t>
  </si>
  <si>
    <t>Goalkeepers</t>
  </si>
  <si>
    <t>23/05/1996</t>
  </si>
  <si>
    <t>1.91m</t>
  </si>
  <si>
    <t>Right</t>
  </si>
  <si>
    <t>01/07/2024</t>
  </si>
  <si>
    <t>31/05/2027</t>
  </si>
  <si>
    <t>£42k</t>
  </si>
  <si>
    <t>Craig Gordon</t>
  </si>
  <si>
    <t>Gordon</t>
  </si>
  <si>
    <t>31/12/1982</t>
  </si>
  <si>
    <t>1.93m</t>
  </si>
  <si>
    <t>Left</t>
  </si>
  <si>
    <t>01/07/2020</t>
  </si>
  <si>
    <t>31/05/2026</t>
  </si>
  <si>
    <t>Alexander Schwolow</t>
  </si>
  <si>
    <t>Schwolow</t>
  </si>
  <si>
    <t>02/06/1992</t>
  </si>
  <si>
    <t>1.90m</t>
  </si>
  <si>
    <t>31/08/2025</t>
  </si>
  <si>
    <t>£382k</t>
  </si>
  <si>
    <t>Jordi Altena</t>
  </si>
  <si>
    <t>Altena</t>
  </si>
  <si>
    <t>Right-Back</t>
  </si>
  <si>
    <t>Defenders</t>
  </si>
  <si>
    <t>04/12/2003</t>
  </si>
  <si>
    <t>1.79m</t>
  </si>
  <si>
    <t>01/01/2026</t>
  </si>
  <si>
    <t>31/05/2029</t>
  </si>
  <si>
    <t>£340k</t>
  </si>
  <si>
    <t>Christian Borchgrevink</t>
  </si>
  <si>
    <t>Borchgrevink</t>
  </si>
  <si>
    <t>11/05/1999</t>
  </si>
  <si>
    <t>1.82m</t>
  </si>
  <si>
    <t>01/07/2025</t>
  </si>
  <si>
    <t>31/05/2028</t>
  </si>
  <si>
    <t>Stuart Findlay</t>
  </si>
  <si>
    <t>Findlay</t>
  </si>
  <si>
    <t>Centre-Back</t>
  </si>
  <si>
    <t>14/09/1995</t>
  </si>
  <si>
    <t>£595k</t>
  </si>
  <si>
    <t>Craig Halkett</t>
  </si>
  <si>
    <t>Halkett</t>
  </si>
  <si>
    <t>29/05/1995</t>
  </si>
  <si>
    <t>1.83m</t>
  </si>
  <si>
    <t>01/07/2019</t>
  </si>
  <si>
    <t>£425k</t>
  </si>
  <si>
    <t>Frankie Kent</t>
  </si>
  <si>
    <t>Kent</t>
  </si>
  <si>
    <t>21/11/1995</t>
  </si>
  <si>
    <t>1.88m</t>
  </si>
  <si>
    <t>24/07/2023</t>
  </si>
  <si>
    <t>Stephen Kingsley</t>
  </si>
  <si>
    <t>Kingsley</t>
  </si>
  <si>
    <t>Left-Back</t>
  </si>
  <si>
    <t>23/07/1994</t>
  </si>
  <si>
    <t>1.78m</t>
  </si>
  <si>
    <t>06/10/2020</t>
  </si>
  <si>
    <t>£60k</t>
  </si>
  <si>
    <t>Jamie McCart</t>
  </si>
  <si>
    <t>McCart</t>
  </si>
  <si>
    <t>20/06/1997</t>
  </si>
  <si>
    <t>1.86m</t>
  </si>
  <si>
    <t>03/01/2025</t>
  </si>
  <si>
    <t>£298k</t>
  </si>
  <si>
    <t>Oisin McEntee</t>
  </si>
  <si>
    <t>McEntee</t>
  </si>
  <si>
    <t>Defensive Midfield</t>
  </si>
  <si>
    <t>Midfielders</t>
  </si>
  <si>
    <t>05/01/2001</t>
  </si>
  <si>
    <t>£170k</t>
  </si>
  <si>
    <t>Harry Milne</t>
  </si>
  <si>
    <t>Milne</t>
  </si>
  <si>
    <t>29/10/1996</t>
  </si>
  <si>
    <t>03/02/2025</t>
  </si>
  <si>
    <t>£468k</t>
  </si>
  <si>
    <t>Michael Steinwender</t>
  </si>
  <si>
    <t>Steinwender</t>
  </si>
  <si>
    <t>04/05/2000</t>
  </si>
  <si>
    <t>21/01/2025</t>
  </si>
  <si>
    <t>£1.02m</t>
  </si>
  <si>
    <t>Ageu</t>
  </si>
  <si>
    <t>Central Midfield</t>
  </si>
  <si>
    <t>20/02/2002</t>
  </si>
  <si>
    <t>1.81m</t>
  </si>
  <si>
    <t>29/08/2025</t>
  </si>
  <si>
    <t>£1.10m</t>
  </si>
  <si>
    <t>Beni Baningime</t>
  </si>
  <si>
    <t>Baningime</t>
  </si>
  <si>
    <t>09/09/1998</t>
  </si>
  <si>
    <t>29/07/2021</t>
  </si>
  <si>
    <t>£1.27m</t>
  </si>
  <si>
    <t>Cammy Devlin</t>
  </si>
  <si>
    <t>Devlin</t>
  </si>
  <si>
    <t>07/06/1998</t>
  </si>
  <si>
    <t>1.69m</t>
  </si>
  <si>
    <t>31/08/2021</t>
  </si>
  <si>
    <t>Marc Leonard</t>
  </si>
  <si>
    <t>Leonard</t>
  </si>
  <si>
    <t>19/12/2001</t>
  </si>
  <si>
    <t>1.80m</t>
  </si>
  <si>
    <t>23/01/2026</t>
  </si>
  <si>
    <t>£850k</t>
  </si>
  <si>
    <t>14/08/2002</t>
  </si>
  <si>
    <t>04/08/2025</t>
  </si>
  <si>
    <t>Calem Nieuwenhof</t>
  </si>
  <si>
    <t>Nieuwenhof</t>
  </si>
  <si>
    <t>17/02/2001</t>
  </si>
  <si>
    <t>22/07/2023</t>
  </si>
  <si>
    <t>£680k</t>
  </si>
  <si>
    <t>Finlay Pollock</t>
  </si>
  <si>
    <t>Pollock</t>
  </si>
  <si>
    <t>Attacking Midfield</t>
  </si>
  <si>
    <t>27/06/2004</t>
  </si>
  <si>
    <t>01/07/2021</t>
  </si>
  <si>
    <t>£64k</t>
  </si>
  <si>
    <t>Blair Spittal</t>
  </si>
  <si>
    <t>Spittal</t>
  </si>
  <si>
    <t>19/12/1995</t>
  </si>
  <si>
    <t>£510k</t>
  </si>
  <si>
    <t>Braga</t>
  </si>
  <si>
    <t>Centre-Forward</t>
  </si>
  <si>
    <t>Forwards</t>
  </si>
  <si>
    <t>28/10/1999</t>
  </si>
  <si>
    <t>£5.10m</t>
  </si>
  <si>
    <t>Islam Chesnokov</t>
  </si>
  <si>
    <t>Chesnokov</t>
  </si>
  <si>
    <t>Right Winger</t>
  </si>
  <si>
    <t>21/11/1999</t>
  </si>
  <si>
    <t>1.85m</t>
  </si>
  <si>
    <t>06/01/2026</t>
  </si>
  <si>
    <t>30/06/2028</t>
  </si>
  <si>
    <t>Alan Forrest</t>
  </si>
  <si>
    <t>Forrest</t>
  </si>
  <si>
    <t>Left Winger</t>
  </si>
  <si>
    <t>09/09/1996</t>
  </si>
  <si>
    <t>1.75m</t>
  </si>
  <si>
    <t>01/07/2022</t>
  </si>
  <si>
    <t>£212k</t>
  </si>
  <si>
    <t>Elton Kabangu</t>
  </si>
  <si>
    <t>Kabangu</t>
  </si>
  <si>
    <t>08/02/1998</t>
  </si>
  <si>
    <t>Pierre Landry Kabore</t>
  </si>
  <si>
    <t>Kabore</t>
  </si>
  <si>
    <t>05/07/2001</t>
  </si>
  <si>
    <t>06/08/2025</t>
  </si>
  <si>
    <t>£255k</t>
  </si>
  <si>
    <t>Sabah Kerjota</t>
  </si>
  <si>
    <t>Kerjota</t>
  </si>
  <si>
    <t>14/08/2001</t>
  </si>
  <si>
    <t>1.76m</t>
  </si>
  <si>
    <t>22/07/2025</t>
  </si>
  <si>
    <t>Alexandros Kyziridis</t>
  </si>
  <si>
    <t>Kyziridis</t>
  </si>
  <si>
    <t>16/09/2000</t>
  </si>
  <si>
    <t>Both</t>
  </si>
  <si>
    <t>£2.98m</t>
  </si>
  <si>
    <t>Rogers Mato</t>
  </si>
  <si>
    <t>Mato</t>
  </si>
  <si>
    <t>10/10/2003</t>
  </si>
  <si>
    <t>29/01/2026</t>
  </si>
  <si>
    <t>30/06/2026</t>
  </si>
  <si>
    <t>Lawrence Shankland</t>
  </si>
  <si>
    <t>Shankland</t>
  </si>
  <si>
    <t>10/08/1995</t>
  </si>
  <si>
    <t>20/07/2022</t>
  </si>
  <si>
    <t>£2.38m</t>
  </si>
  <si>
    <t>In Squad</t>
  </si>
  <si>
    <t>Appearances</t>
  </si>
  <si>
    <t>Eduardo Ageu</t>
  </si>
  <si>
    <t>Tomas Magnusson</t>
  </si>
  <si>
    <t>Magnsson</t>
  </si>
  <si>
    <t>Claudio Braga</t>
  </si>
  <si>
    <t>Image</t>
  </si>
  <si>
    <t>Full Image</t>
  </si>
  <si>
    <t>James Wilson</t>
  </si>
  <si>
    <t>Wilson</t>
  </si>
  <si>
    <t>1.84,m</t>
  </si>
  <si>
    <t>£1.04m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</si>
</sst>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4"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B6AE1-6625-47C0-B09F-8F3EC71D1091}" name="Table1" displayName="Table1" ref="A1:X32" totalsRowShown="0">
  <autoFilter ref="A1:X32" xr:uid="{E94B6AE1-6625-47C0-B09F-8F3EC71D1091}"/>
  <tableColumns count="24">
    <tableColumn id="1" xr3:uid="{4E4209FF-80F1-4A66-A707-57E96187A077}" name="Squad No"/>
    <tableColumn id="2" xr3:uid="{752694CA-D3D0-40CF-97CB-117E78906A9A}" name="Player"/>
    <tableColumn id="3" xr3:uid="{670E9C30-CE67-4AF8-9DDC-394CAA63D707}" name="Surname Sort"/>
    <tableColumn id="4" xr3:uid="{E1A4513B-4D07-4196-B62F-CE76000FCD2A}" name="Position"/>
    <tableColumn id="5" xr3:uid="{89323841-EC94-4062-947E-97696EABE6D5}" name="Position Group"/>
    <tableColumn id="23" xr3:uid="{9B08EB41-DFBE-40AC-B605-3551CF820F28}" name="Image" dataDxfId="3">
      <calculatedColumnFormula>"/images/players/"&amp;E2&amp;"/head/"&amp;B2&amp;".webp"</calculatedColumnFormula>
    </tableColumn>
    <tableColumn id="24" xr3:uid="{5E6A2ACC-3D31-46CE-A920-3F84969BF8BC}" name="Full Image" dataDxfId="2">
      <calculatedColumnFormula>"/images/players/"&amp;E2&amp;"/full/"&amp;B2&amp;".webp"</calculatedColumnFormula>
    </tableColumn>
    <tableColumn id="6" xr3:uid="{C1A63BEA-93B8-4577-B0BE-66B51058B8C0}" name="Date of Birth" dataDxfId="1"/>
    <tableColumn id="7" xr3:uid="{92700C36-3DF0-460E-9D5E-A90CFE4A4DE7}" name="Age"/>
    <tableColumn id="8" xr3:uid="{5422FB98-CCC9-4E11-AA40-CFCA2F6B768E}" name="Height"/>
    <tableColumn id="9" xr3:uid="{01A450C0-299E-4E4F-B5CE-E795F5F6EC43}" name="Foot"/>
    <tableColumn id="10" xr3:uid="{95016A61-EA27-409F-B707-7B6E8FA87E89}" name="Joined"/>
    <tableColumn id="11" xr3:uid="{33C861B1-18FB-470B-AC79-6EE6C72116B5}" name="Contract Until" dataDxfId="0"/>
    <tableColumn id="12" xr3:uid="{D9FCD118-5440-4FC6-B7D3-93F9B5FE3A13}" name="Market Value"/>
    <tableColumn id="13" xr3:uid="{27FFEDCC-5802-4A32-9D80-060A29A0575E}" name="Appearances"/>
    <tableColumn id="14" xr3:uid="{ED21C701-9E4D-4CD3-A883-220114E59947}" name="In Squad"/>
    <tableColumn id="15" xr3:uid="{C9E7DD62-4066-487A-9295-13D3AC7C9496}" name="Goals"/>
    <tableColumn id="16" xr3:uid="{9C01DC87-12DB-419F-8B34-599DCDC354BB}" name="Assists"/>
    <tableColumn id="17" xr3:uid="{3406DBBC-3C54-41A9-AD85-985A7DF81114}" name="Yellow Cards"/>
    <tableColumn id="18" xr3:uid="{1B911B77-7348-40EC-BAF1-177AB3C6CC01}" name="Second Yellow"/>
    <tableColumn id="19" xr3:uid="{AC1816BB-97C5-4231-B8FC-1638B8DCE93B}" name="Red Cards"/>
    <tableColumn id="20" xr3:uid="{A33FA4E0-F486-459E-A13F-FFD1967381FE}" name="Subbed On"/>
    <tableColumn id="21" xr3:uid="{497E0FF1-0B83-478C-9FF5-143E7A953591}" name="Subbed Off"/>
    <tableColumn id="22" xr3:uid="{B200540C-46C9-4C01-85B0-0FE1720C5548}" name="Min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topLeftCell="G15" workbookViewId="0">
      <selection activeCell="A32" sqref="A32:XFD32"/>
    </sheetView>
  </sheetViews>
  <sheetFormatPr defaultRowHeight="14.25"/>
  <cols>
    <col min="1" max="1" width="10.75" customWidth="1"/>
    <col min="2" max="2" width="21" bestFit="1" customWidth="1"/>
    <col min="3" max="3" width="14.125" customWidth="1"/>
    <col min="4" max="4" width="15.625" bestFit="1" customWidth="1"/>
    <col min="5" max="5" width="14.75" customWidth="1"/>
    <col min="6" max="6" width="15.5" customWidth="1"/>
    <col min="7" max="7" width="50.75" bestFit="1" customWidth="1"/>
    <col min="8" max="8" width="12.875" style="2" customWidth="1"/>
    <col min="9" max="9" width="5.875" customWidth="1"/>
    <col min="10" max="10" width="8" customWidth="1"/>
    <col min="11" max="11" width="6.375" customWidth="1"/>
    <col min="12" max="12" width="9.875" bestFit="1" customWidth="1"/>
    <col min="13" max="13" width="14" customWidth="1"/>
    <col min="14" max="14" width="13.125" customWidth="1"/>
    <col min="15" max="15" width="13.5" customWidth="1"/>
    <col min="16" max="16" width="9.875" customWidth="1"/>
    <col min="17" max="17" width="7.5" customWidth="1"/>
    <col min="18" max="18" width="8.75" customWidth="1"/>
    <col min="19" max="19" width="13.5" customWidth="1"/>
    <col min="20" max="20" width="14.75" customWidth="1"/>
    <col min="21" max="21" width="11.625" customWidth="1"/>
    <col min="22" max="23" width="12" customWidth="1"/>
    <col min="24" max="24" width="10.25" customWidth="1"/>
  </cols>
  <sheetData>
    <row r="1" spans="1:24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195</v>
      </c>
      <c r="G1" t="s">
        <v>196</v>
      </c>
      <c r="H1" s="2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190</v>
      </c>
      <c r="P1" t="s">
        <v>189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ht="17.25" customHeight="1">
      <c r="A2">
        <v>30</v>
      </c>
      <c r="B2" t="s">
        <v>20</v>
      </c>
      <c r="C2" t="s">
        <v>21</v>
      </c>
      <c r="D2" t="s">
        <v>22</v>
      </c>
      <c r="E2" t="s">
        <v>23</v>
      </c>
      <c r="F2" t="str">
        <f>"/images/players/"&amp;E2&amp;"/head/"&amp;B2&amp;".webp"</f>
        <v>/images/players/Goalkeepers/head/Ryan Fulton.webp</v>
      </c>
      <c r="G2" t="str">
        <f t="shared" ref="G2:G31" si="0">"/images/players/"&amp;E2&amp;"/full/"&amp;B2&amp;".webp"</f>
        <v>/images/players/Goalkeepers/full/Ryan Fulton.webp</v>
      </c>
      <c r="H2" s="2" t="s">
        <v>24</v>
      </c>
      <c r="I2">
        <v>29</v>
      </c>
      <c r="J2" t="s">
        <v>25</v>
      </c>
      <c r="K2" t="s">
        <v>26</v>
      </c>
      <c r="L2" t="s">
        <v>27</v>
      </c>
      <c r="M2" s="2" t="s">
        <v>28</v>
      </c>
      <c r="N2" t="s">
        <v>29</v>
      </c>
      <c r="O2">
        <v>2</v>
      </c>
      <c r="P2">
        <v>18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180</v>
      </c>
    </row>
    <row r="3" spans="1:24" ht="17.25" customHeight="1">
      <c r="A3">
        <v>1</v>
      </c>
      <c r="B3" t="s">
        <v>30</v>
      </c>
      <c r="C3" t="s">
        <v>31</v>
      </c>
      <c r="D3" t="s">
        <v>22</v>
      </c>
      <c r="E3" t="s">
        <v>23</v>
      </c>
      <c r="F3" t="str">
        <f t="shared" ref="F3:F31" si="1">"/images/players/"&amp;E3&amp;"/head/"&amp;B3&amp;".webp"</f>
        <v>/images/players/Goalkeepers/head/Craig Gordon.webp</v>
      </c>
      <c r="G3" t="str">
        <f t="shared" si="0"/>
        <v>/images/players/Goalkeepers/full/Craig Gordon.webp</v>
      </c>
      <c r="H3" s="2" t="s">
        <v>32</v>
      </c>
      <c r="I3">
        <v>43</v>
      </c>
      <c r="J3" t="s">
        <v>33</v>
      </c>
      <c r="K3" t="s">
        <v>34</v>
      </c>
      <c r="L3" t="s">
        <v>35</v>
      </c>
      <c r="M3" s="2" t="s">
        <v>36</v>
      </c>
      <c r="N3" t="s">
        <v>29</v>
      </c>
      <c r="O3">
        <v>3</v>
      </c>
      <c r="P3">
        <v>22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225</v>
      </c>
    </row>
    <row r="4" spans="1:24" ht="17.25" customHeight="1">
      <c r="A4">
        <v>25</v>
      </c>
      <c r="B4" t="s">
        <v>37</v>
      </c>
      <c r="C4" t="s">
        <v>38</v>
      </c>
      <c r="D4" t="s">
        <v>22</v>
      </c>
      <c r="E4" t="s">
        <v>23</v>
      </c>
      <c r="F4" t="str">
        <f t="shared" si="1"/>
        <v>/images/players/Goalkeepers/head/Alexander Schwolow.webp</v>
      </c>
      <c r="G4" t="str">
        <f t="shared" si="0"/>
        <v>/images/players/Goalkeepers/full/Alexander Schwolow.webp</v>
      </c>
      <c r="H4" s="2" t="s">
        <v>39</v>
      </c>
      <c r="I4">
        <v>33</v>
      </c>
      <c r="J4" t="s">
        <v>40</v>
      </c>
      <c r="K4" t="s">
        <v>26</v>
      </c>
      <c r="L4" t="s">
        <v>41</v>
      </c>
      <c r="M4" s="2" t="s">
        <v>28</v>
      </c>
      <c r="N4" t="s">
        <v>42</v>
      </c>
      <c r="O4">
        <v>33</v>
      </c>
      <c r="P4">
        <v>34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2955</v>
      </c>
    </row>
    <row r="5" spans="1:24" ht="17.25" customHeight="1">
      <c r="A5">
        <v>23</v>
      </c>
      <c r="B5" t="s">
        <v>43</v>
      </c>
      <c r="C5" t="s">
        <v>44</v>
      </c>
      <c r="D5" t="s">
        <v>45</v>
      </c>
      <c r="E5" t="s">
        <v>46</v>
      </c>
      <c r="F5" t="str">
        <f t="shared" si="1"/>
        <v>/images/players/Defenders/head/Jordi Altena.webp</v>
      </c>
      <c r="G5" t="str">
        <f t="shared" si="0"/>
        <v>/images/players/Defenders/full/Jordi Altena.webp</v>
      </c>
      <c r="H5" s="2" t="s">
        <v>47</v>
      </c>
      <c r="I5">
        <v>22</v>
      </c>
      <c r="J5" t="s">
        <v>48</v>
      </c>
      <c r="K5" t="s">
        <v>26</v>
      </c>
      <c r="L5" t="s">
        <v>49</v>
      </c>
      <c r="M5" s="2" t="s">
        <v>50</v>
      </c>
      <c r="N5" t="s">
        <v>51</v>
      </c>
      <c r="O5">
        <v>17</v>
      </c>
      <c r="P5">
        <v>20</v>
      </c>
      <c r="Q5">
        <v>0</v>
      </c>
      <c r="R5">
        <v>1</v>
      </c>
      <c r="S5">
        <v>1</v>
      </c>
      <c r="T5">
        <v>0</v>
      </c>
      <c r="U5">
        <v>0</v>
      </c>
      <c r="V5">
        <v>9</v>
      </c>
      <c r="W5">
        <v>7</v>
      </c>
      <c r="X5">
        <v>650</v>
      </c>
    </row>
    <row r="6" spans="1:24" ht="17.25" customHeight="1">
      <c r="A6">
        <v>12</v>
      </c>
      <c r="B6" t="s">
        <v>52</v>
      </c>
      <c r="C6" t="s">
        <v>53</v>
      </c>
      <c r="D6" t="s">
        <v>45</v>
      </c>
      <c r="E6" t="s">
        <v>46</v>
      </c>
      <c r="F6" t="str">
        <f t="shared" si="1"/>
        <v>/images/players/Defenders/head/Christian Borchgrevink.webp</v>
      </c>
      <c r="G6" t="str">
        <f t="shared" si="0"/>
        <v>/images/players/Defenders/full/Christian Borchgrevink.webp</v>
      </c>
      <c r="H6" s="2" t="s">
        <v>54</v>
      </c>
      <c r="I6">
        <v>27</v>
      </c>
      <c r="J6" t="s">
        <v>55</v>
      </c>
      <c r="K6" t="s">
        <v>26</v>
      </c>
      <c r="L6" t="s">
        <v>56</v>
      </c>
      <c r="M6" s="2" t="s">
        <v>57</v>
      </c>
      <c r="N6" t="s">
        <v>42</v>
      </c>
      <c r="O6">
        <v>8</v>
      </c>
      <c r="P6">
        <v>16</v>
      </c>
      <c r="Q6">
        <v>0</v>
      </c>
      <c r="R6">
        <v>1</v>
      </c>
      <c r="S6">
        <v>1</v>
      </c>
      <c r="T6">
        <v>0</v>
      </c>
      <c r="U6">
        <v>0</v>
      </c>
      <c r="V6">
        <v>4</v>
      </c>
      <c r="W6">
        <v>4</v>
      </c>
      <c r="X6">
        <v>348</v>
      </c>
    </row>
    <row r="7" spans="1:24" ht="17.25" customHeight="1">
      <c r="A7">
        <v>19</v>
      </c>
      <c r="B7" t="s">
        <v>58</v>
      </c>
      <c r="C7" t="s">
        <v>59</v>
      </c>
      <c r="D7" t="s">
        <v>60</v>
      </c>
      <c r="E7" t="s">
        <v>46</v>
      </c>
      <c r="F7" t="str">
        <f t="shared" si="1"/>
        <v>/images/players/Defenders/head/Stuart Findlay.webp</v>
      </c>
      <c r="G7" t="str">
        <f t="shared" si="0"/>
        <v>/images/players/Defenders/full/Stuart Findlay.webp</v>
      </c>
      <c r="H7" s="2" t="s">
        <v>61</v>
      </c>
      <c r="I7">
        <v>30</v>
      </c>
      <c r="J7" t="s">
        <v>25</v>
      </c>
      <c r="K7" t="s">
        <v>34</v>
      </c>
      <c r="L7" t="s">
        <v>56</v>
      </c>
      <c r="M7" s="2" t="s">
        <v>36</v>
      </c>
      <c r="N7" t="s">
        <v>62</v>
      </c>
      <c r="O7">
        <v>39</v>
      </c>
      <c r="P7">
        <v>39</v>
      </c>
      <c r="Q7">
        <v>6</v>
      </c>
      <c r="R7">
        <v>2</v>
      </c>
      <c r="S7">
        <v>5</v>
      </c>
      <c r="T7">
        <v>0</v>
      </c>
      <c r="U7">
        <v>0</v>
      </c>
      <c r="V7">
        <v>2</v>
      </c>
      <c r="W7">
        <v>3</v>
      </c>
      <c r="X7">
        <v>3385</v>
      </c>
    </row>
    <row r="8" spans="1:24" ht="17.25" customHeight="1">
      <c r="A8">
        <v>4</v>
      </c>
      <c r="B8" t="s">
        <v>63</v>
      </c>
      <c r="C8" t="s">
        <v>64</v>
      </c>
      <c r="D8" t="s">
        <v>60</v>
      </c>
      <c r="E8" t="s">
        <v>46</v>
      </c>
      <c r="F8" t="str">
        <f t="shared" si="1"/>
        <v>/images/players/Defenders/head/Craig Halkett.webp</v>
      </c>
      <c r="G8" t="str">
        <f t="shared" si="0"/>
        <v>/images/players/Defenders/full/Craig Halkett.webp</v>
      </c>
      <c r="H8" s="2" t="s">
        <v>65</v>
      </c>
      <c r="I8">
        <v>30</v>
      </c>
      <c r="J8" t="s">
        <v>66</v>
      </c>
      <c r="K8" t="s">
        <v>26</v>
      </c>
      <c r="L8" t="s">
        <v>67</v>
      </c>
      <c r="M8" s="2" t="s">
        <v>57</v>
      </c>
      <c r="N8" t="s">
        <v>68</v>
      </c>
      <c r="O8">
        <v>35</v>
      </c>
      <c r="P8">
        <v>37</v>
      </c>
      <c r="Q8">
        <v>6</v>
      </c>
      <c r="R8">
        <v>1</v>
      </c>
      <c r="S8">
        <v>11</v>
      </c>
      <c r="T8">
        <v>0</v>
      </c>
      <c r="U8">
        <v>1</v>
      </c>
      <c r="V8">
        <v>1</v>
      </c>
      <c r="W8">
        <v>6</v>
      </c>
      <c r="X8">
        <v>2883</v>
      </c>
    </row>
    <row r="9" spans="1:24" ht="17.25" customHeight="1">
      <c r="A9">
        <v>2</v>
      </c>
      <c r="B9" t="s">
        <v>69</v>
      </c>
      <c r="C9" t="s">
        <v>70</v>
      </c>
      <c r="D9" t="s">
        <v>60</v>
      </c>
      <c r="E9" t="s">
        <v>46</v>
      </c>
      <c r="F9" t="str">
        <f t="shared" si="1"/>
        <v>/images/players/Defenders/head/Frankie Kent.webp</v>
      </c>
      <c r="G9" t="str">
        <f t="shared" si="0"/>
        <v>/images/players/Defenders/full/Frankie Kent.webp</v>
      </c>
      <c r="H9" s="2" t="s">
        <v>71</v>
      </c>
      <c r="I9">
        <v>30</v>
      </c>
      <c r="J9" t="s">
        <v>72</v>
      </c>
      <c r="K9" t="s">
        <v>26</v>
      </c>
      <c r="L9" t="s">
        <v>73</v>
      </c>
      <c r="M9" s="2" t="s">
        <v>36</v>
      </c>
      <c r="N9" t="s">
        <v>51</v>
      </c>
      <c r="O9">
        <v>25</v>
      </c>
      <c r="P9">
        <v>35</v>
      </c>
      <c r="Q9">
        <v>1</v>
      </c>
      <c r="R9">
        <v>0</v>
      </c>
      <c r="S9">
        <v>1</v>
      </c>
      <c r="T9">
        <v>1</v>
      </c>
      <c r="U9">
        <v>0</v>
      </c>
      <c r="V9">
        <v>11</v>
      </c>
      <c r="W9">
        <v>3</v>
      </c>
      <c r="X9">
        <v>1453</v>
      </c>
    </row>
    <row r="10" spans="1:24" ht="17.25" customHeight="1">
      <c r="A10">
        <v>3</v>
      </c>
      <c r="B10" t="s">
        <v>74</v>
      </c>
      <c r="C10" t="s">
        <v>75</v>
      </c>
      <c r="D10" t="s">
        <v>76</v>
      </c>
      <c r="E10" t="s">
        <v>46</v>
      </c>
      <c r="F10" t="str">
        <f t="shared" si="1"/>
        <v>/images/players/Defenders/head/Stephen Kingsley.webp</v>
      </c>
      <c r="G10" t="str">
        <f t="shared" si="0"/>
        <v>/images/players/Defenders/full/Stephen Kingsley.webp</v>
      </c>
      <c r="H10" s="2" t="s">
        <v>77</v>
      </c>
      <c r="I10">
        <v>31</v>
      </c>
      <c r="J10" t="s">
        <v>78</v>
      </c>
      <c r="K10" t="s">
        <v>34</v>
      </c>
      <c r="L10" t="s">
        <v>79</v>
      </c>
      <c r="M10" s="2" t="s">
        <v>28</v>
      </c>
      <c r="N10" t="s">
        <v>80</v>
      </c>
      <c r="O10">
        <v>24</v>
      </c>
      <c r="P10">
        <v>31</v>
      </c>
      <c r="Q10">
        <v>3</v>
      </c>
      <c r="R10">
        <v>3</v>
      </c>
      <c r="S10">
        <v>1</v>
      </c>
      <c r="T10">
        <v>0</v>
      </c>
      <c r="U10">
        <v>0</v>
      </c>
      <c r="V10">
        <v>8</v>
      </c>
      <c r="W10">
        <v>12</v>
      </c>
      <c r="X10">
        <v>1505</v>
      </c>
    </row>
    <row r="11" spans="1:24" ht="17.25" customHeight="1">
      <c r="A11">
        <v>5</v>
      </c>
      <c r="B11" t="s">
        <v>81</v>
      </c>
      <c r="C11" t="s">
        <v>82</v>
      </c>
      <c r="D11" t="s">
        <v>60</v>
      </c>
      <c r="E11" t="s">
        <v>46</v>
      </c>
      <c r="F11" t="str">
        <f t="shared" si="1"/>
        <v>/images/players/Defenders/head/Jamie McCart.webp</v>
      </c>
      <c r="G11" t="str">
        <f t="shared" si="0"/>
        <v>/images/players/Defenders/full/Jamie McCart.webp</v>
      </c>
      <c r="H11" s="2" t="s">
        <v>83</v>
      </c>
      <c r="I11">
        <v>28</v>
      </c>
      <c r="J11" t="s">
        <v>84</v>
      </c>
      <c r="K11" t="s">
        <v>34</v>
      </c>
      <c r="L11" t="s">
        <v>85</v>
      </c>
      <c r="M11" s="2" t="s">
        <v>50</v>
      </c>
      <c r="N11" t="s">
        <v>86</v>
      </c>
      <c r="O11">
        <v>21</v>
      </c>
      <c r="P11">
        <v>33</v>
      </c>
      <c r="Q11">
        <v>0</v>
      </c>
      <c r="R11">
        <v>0</v>
      </c>
      <c r="S11">
        <v>1</v>
      </c>
      <c r="T11">
        <v>0</v>
      </c>
      <c r="U11">
        <v>0</v>
      </c>
      <c r="V11">
        <v>14</v>
      </c>
      <c r="W11">
        <v>2</v>
      </c>
      <c r="X11">
        <v>692</v>
      </c>
    </row>
    <row r="12" spans="1:24" ht="17.25" customHeight="1">
      <c r="A12">
        <v>18</v>
      </c>
      <c r="B12" t="s">
        <v>93</v>
      </c>
      <c r="C12" t="s">
        <v>94</v>
      </c>
      <c r="D12" t="s">
        <v>76</v>
      </c>
      <c r="E12" t="s">
        <v>46</v>
      </c>
      <c r="F12" t="str">
        <f t="shared" si="1"/>
        <v>/images/players/Defenders/head/Harry Milne.webp</v>
      </c>
      <c r="G12" t="str">
        <f t="shared" si="0"/>
        <v>/images/players/Defenders/full/Harry Milne.webp</v>
      </c>
      <c r="H12" s="2" t="s">
        <v>95</v>
      </c>
      <c r="I12">
        <v>29</v>
      </c>
      <c r="J12" t="s">
        <v>66</v>
      </c>
      <c r="K12" t="s">
        <v>34</v>
      </c>
      <c r="L12" t="s">
        <v>96</v>
      </c>
      <c r="M12" s="2" t="s">
        <v>28</v>
      </c>
      <c r="N12" t="s">
        <v>97</v>
      </c>
      <c r="O12">
        <v>35</v>
      </c>
      <c r="P12">
        <v>36</v>
      </c>
      <c r="Q12">
        <v>1</v>
      </c>
      <c r="R12">
        <v>9</v>
      </c>
      <c r="S12">
        <v>9</v>
      </c>
      <c r="T12">
        <v>0</v>
      </c>
      <c r="U12">
        <v>0</v>
      </c>
      <c r="V12">
        <v>2</v>
      </c>
      <c r="W12">
        <v>11</v>
      </c>
      <c r="X12">
        <v>2912</v>
      </c>
    </row>
    <row r="13" spans="1:24" ht="17.25" customHeight="1">
      <c r="A13">
        <v>15</v>
      </c>
      <c r="B13" t="s">
        <v>98</v>
      </c>
      <c r="C13" t="s">
        <v>99</v>
      </c>
      <c r="D13" t="s">
        <v>60</v>
      </c>
      <c r="E13" t="s">
        <v>46</v>
      </c>
      <c r="F13" t="str">
        <f t="shared" si="1"/>
        <v>/images/players/Defenders/head/Michael Steinwender.webp</v>
      </c>
      <c r="G13" t="str">
        <f t="shared" si="0"/>
        <v>/images/players/Defenders/full/Michael Steinwender.webp</v>
      </c>
      <c r="H13" s="2" t="s">
        <v>100</v>
      </c>
      <c r="I13">
        <v>26</v>
      </c>
      <c r="J13" t="s">
        <v>40</v>
      </c>
      <c r="K13" t="s">
        <v>26</v>
      </c>
      <c r="L13" t="s">
        <v>101</v>
      </c>
      <c r="M13" s="2" t="s">
        <v>57</v>
      </c>
      <c r="N13" t="s">
        <v>102</v>
      </c>
      <c r="O13">
        <v>35</v>
      </c>
      <c r="P13">
        <v>40</v>
      </c>
      <c r="Q13">
        <v>1</v>
      </c>
      <c r="R13">
        <v>2</v>
      </c>
      <c r="S13">
        <v>4</v>
      </c>
      <c r="T13">
        <v>0</v>
      </c>
      <c r="U13">
        <v>0</v>
      </c>
      <c r="V13">
        <v>14</v>
      </c>
      <c r="W13">
        <v>9</v>
      </c>
      <c r="X13">
        <v>2137</v>
      </c>
    </row>
    <row r="14" spans="1:24" ht="17.25" customHeight="1">
      <c r="A14">
        <v>40</v>
      </c>
      <c r="B14" t="s">
        <v>191</v>
      </c>
      <c r="C14" t="s">
        <v>103</v>
      </c>
      <c r="D14" t="s">
        <v>104</v>
      </c>
      <c r="E14" t="s">
        <v>90</v>
      </c>
      <c r="F14" t="str">
        <f t="shared" si="1"/>
        <v>/images/players/Midfielders/head/Eduardo Ageu.webp</v>
      </c>
      <c r="G14" t="str">
        <f t="shared" si="0"/>
        <v>/images/players/Midfielders/full/Eduardo Ageu.webp</v>
      </c>
      <c r="H14" s="2" t="s">
        <v>105</v>
      </c>
      <c r="I14">
        <v>24</v>
      </c>
      <c r="J14" t="s">
        <v>106</v>
      </c>
      <c r="K14" t="s">
        <v>26</v>
      </c>
      <c r="L14" t="s">
        <v>107</v>
      </c>
      <c r="M14" s="2" t="s">
        <v>50</v>
      </c>
      <c r="N14" t="s">
        <v>108</v>
      </c>
      <c r="O14">
        <v>7</v>
      </c>
      <c r="P14">
        <v>9</v>
      </c>
      <c r="Q14">
        <v>0</v>
      </c>
      <c r="R14">
        <v>0</v>
      </c>
      <c r="S14">
        <v>1</v>
      </c>
      <c r="T14">
        <v>0</v>
      </c>
      <c r="U14">
        <v>0</v>
      </c>
      <c r="V14">
        <v>6</v>
      </c>
      <c r="W14">
        <v>1</v>
      </c>
      <c r="X14">
        <v>126</v>
      </c>
    </row>
    <row r="15" spans="1:24" ht="17.25" customHeight="1">
      <c r="A15">
        <v>6</v>
      </c>
      <c r="B15" t="s">
        <v>109</v>
      </c>
      <c r="C15" t="s">
        <v>110</v>
      </c>
      <c r="D15" t="s">
        <v>89</v>
      </c>
      <c r="E15" t="s">
        <v>90</v>
      </c>
      <c r="F15" t="str">
        <f t="shared" si="1"/>
        <v>/images/players/Midfielders/head/Beni Baningime.webp</v>
      </c>
      <c r="G15" t="str">
        <f t="shared" si="0"/>
        <v>/images/players/Midfielders/full/Beni Baningime.webp</v>
      </c>
      <c r="H15" s="2" t="s">
        <v>111</v>
      </c>
      <c r="I15">
        <v>27</v>
      </c>
      <c r="J15" t="s">
        <v>78</v>
      </c>
      <c r="K15" t="s">
        <v>26</v>
      </c>
      <c r="L15" t="s">
        <v>112</v>
      </c>
      <c r="M15" s="2" t="s">
        <v>36</v>
      </c>
      <c r="N15" t="s">
        <v>113</v>
      </c>
      <c r="O15">
        <v>30</v>
      </c>
      <c r="P15">
        <v>30</v>
      </c>
      <c r="Q15">
        <v>0</v>
      </c>
      <c r="R15">
        <v>1</v>
      </c>
      <c r="S15">
        <v>2</v>
      </c>
      <c r="T15">
        <v>0</v>
      </c>
      <c r="U15">
        <v>1</v>
      </c>
      <c r="V15">
        <v>7</v>
      </c>
      <c r="W15">
        <v>8</v>
      </c>
      <c r="X15">
        <v>2094</v>
      </c>
    </row>
    <row r="16" spans="1:24" ht="17.25" customHeight="1">
      <c r="A16">
        <v>14</v>
      </c>
      <c r="B16" t="s">
        <v>114</v>
      </c>
      <c r="C16" t="s">
        <v>115</v>
      </c>
      <c r="D16" t="s">
        <v>104</v>
      </c>
      <c r="E16" t="s">
        <v>90</v>
      </c>
      <c r="F16" t="str">
        <f t="shared" si="1"/>
        <v>/images/players/Midfielders/head/Cammy Devlin.webp</v>
      </c>
      <c r="G16" t="str">
        <f t="shared" si="0"/>
        <v>/images/players/Midfielders/full/Cammy Devlin.webp</v>
      </c>
      <c r="H16" s="2" t="s">
        <v>116</v>
      </c>
      <c r="I16">
        <v>27</v>
      </c>
      <c r="J16" t="s">
        <v>117</v>
      </c>
      <c r="K16" t="s">
        <v>26</v>
      </c>
      <c r="L16" t="s">
        <v>118</v>
      </c>
      <c r="M16" s="2" t="s">
        <v>36</v>
      </c>
      <c r="N16" t="s">
        <v>102</v>
      </c>
      <c r="O16">
        <v>33</v>
      </c>
      <c r="P16">
        <v>33</v>
      </c>
      <c r="Q16">
        <v>2</v>
      </c>
      <c r="R16">
        <v>1</v>
      </c>
      <c r="S16">
        <v>6</v>
      </c>
      <c r="T16">
        <v>0</v>
      </c>
      <c r="U16">
        <v>0</v>
      </c>
      <c r="V16">
        <v>2</v>
      </c>
      <c r="W16">
        <v>7</v>
      </c>
      <c r="X16">
        <v>2777</v>
      </c>
    </row>
    <row r="17" spans="1:24" ht="17.25" customHeight="1">
      <c r="A17">
        <v>49</v>
      </c>
      <c r="B17" t="s">
        <v>119</v>
      </c>
      <c r="C17" t="s">
        <v>120</v>
      </c>
      <c r="D17" t="s">
        <v>104</v>
      </c>
      <c r="E17" t="s">
        <v>90</v>
      </c>
      <c r="F17" t="str">
        <f t="shared" si="1"/>
        <v>/images/players/Midfielders/head/Marc Leonard.webp</v>
      </c>
      <c r="G17" t="str">
        <f t="shared" si="0"/>
        <v>/images/players/Midfielders/full/Marc Leonard.webp</v>
      </c>
      <c r="H17" s="2" t="s">
        <v>121</v>
      </c>
      <c r="I17">
        <v>24</v>
      </c>
      <c r="J17" t="s">
        <v>122</v>
      </c>
      <c r="K17" t="s">
        <v>26</v>
      </c>
      <c r="L17" t="s">
        <v>123</v>
      </c>
      <c r="M17" s="2" t="s">
        <v>36</v>
      </c>
      <c r="N17" t="s">
        <v>124</v>
      </c>
      <c r="O17">
        <v>13</v>
      </c>
      <c r="P17">
        <v>13</v>
      </c>
      <c r="Q17">
        <v>1</v>
      </c>
      <c r="R17">
        <v>3</v>
      </c>
      <c r="S17">
        <v>3</v>
      </c>
      <c r="T17">
        <v>0</v>
      </c>
      <c r="U17">
        <v>1</v>
      </c>
      <c r="V17">
        <v>0</v>
      </c>
      <c r="W17">
        <v>2</v>
      </c>
      <c r="X17">
        <v>1125</v>
      </c>
    </row>
    <row r="18" spans="1:24" ht="17.25" customHeight="1">
      <c r="A18">
        <v>22</v>
      </c>
      <c r="B18" t="s">
        <v>192</v>
      </c>
      <c r="C18" t="s">
        <v>193</v>
      </c>
      <c r="D18" t="s">
        <v>104</v>
      </c>
      <c r="E18" t="s">
        <v>90</v>
      </c>
      <c r="F18" t="str">
        <f t="shared" si="1"/>
        <v>/images/players/Midfielders/head/Tomas Magnusson.webp</v>
      </c>
      <c r="G18" t="str">
        <f t="shared" si="0"/>
        <v>/images/players/Midfielders/full/Tomas Magnusson.webp</v>
      </c>
      <c r="H18" s="2" t="s">
        <v>125</v>
      </c>
      <c r="I18">
        <v>23</v>
      </c>
      <c r="J18" t="s">
        <v>33</v>
      </c>
      <c r="K18" t="s">
        <v>26</v>
      </c>
      <c r="L18" t="s">
        <v>126</v>
      </c>
      <c r="M18" s="2" t="s">
        <v>57</v>
      </c>
      <c r="N18" t="s">
        <v>68</v>
      </c>
      <c r="O18">
        <v>29</v>
      </c>
      <c r="P18">
        <v>32</v>
      </c>
      <c r="Q18">
        <v>3</v>
      </c>
      <c r="R18">
        <v>0</v>
      </c>
      <c r="S18">
        <v>4</v>
      </c>
      <c r="T18">
        <v>0</v>
      </c>
      <c r="U18">
        <v>0</v>
      </c>
      <c r="V18">
        <v>13</v>
      </c>
      <c r="W18">
        <v>11</v>
      </c>
      <c r="X18">
        <v>1414</v>
      </c>
    </row>
    <row r="19" spans="1:24" ht="17.25" customHeight="1">
      <c r="A19">
        <v>31</v>
      </c>
      <c r="B19" t="s">
        <v>87</v>
      </c>
      <c r="C19" t="s">
        <v>88</v>
      </c>
      <c r="D19" t="s">
        <v>89</v>
      </c>
      <c r="E19" t="s">
        <v>90</v>
      </c>
      <c r="F19" t="str">
        <f t="shared" si="1"/>
        <v>/images/players/Midfielders/head/Oisin McEntee.webp</v>
      </c>
      <c r="G19" t="str">
        <f t="shared" si="0"/>
        <v>/images/players/Midfielders/full/Oisin McEntee.webp</v>
      </c>
      <c r="H19" s="2" t="s">
        <v>91</v>
      </c>
      <c r="I19">
        <v>25</v>
      </c>
      <c r="J19" t="s">
        <v>40</v>
      </c>
      <c r="K19" t="s">
        <v>26</v>
      </c>
      <c r="L19" t="s">
        <v>56</v>
      </c>
      <c r="M19" s="2" t="s">
        <v>57</v>
      </c>
      <c r="N19" t="s">
        <v>92</v>
      </c>
      <c r="O19">
        <v>32</v>
      </c>
      <c r="P19">
        <v>33</v>
      </c>
      <c r="Q19">
        <v>3</v>
      </c>
      <c r="R19">
        <v>3</v>
      </c>
      <c r="S19">
        <v>5</v>
      </c>
      <c r="T19">
        <v>0</v>
      </c>
      <c r="U19">
        <v>0</v>
      </c>
      <c r="V19">
        <v>4</v>
      </c>
      <c r="W19">
        <v>13</v>
      </c>
      <c r="X19">
        <v>2281</v>
      </c>
    </row>
    <row r="20" spans="1:24" ht="17.25" customHeight="1">
      <c r="A20">
        <v>8</v>
      </c>
      <c r="B20" t="s">
        <v>127</v>
      </c>
      <c r="C20" t="s">
        <v>128</v>
      </c>
      <c r="D20" t="s">
        <v>89</v>
      </c>
      <c r="E20" t="s">
        <v>90</v>
      </c>
      <c r="F20" t="str">
        <f t="shared" si="1"/>
        <v>/images/players/Midfielders/head/Calem Nieuwenhof.webp</v>
      </c>
      <c r="G20" t="str">
        <f t="shared" si="0"/>
        <v>/images/players/Midfielders/full/Calem Nieuwenhof.webp</v>
      </c>
      <c r="H20" s="2" t="s">
        <v>129</v>
      </c>
      <c r="I20">
        <v>25</v>
      </c>
      <c r="J20" t="s">
        <v>55</v>
      </c>
      <c r="K20" t="s">
        <v>26</v>
      </c>
      <c r="L20" t="s">
        <v>130</v>
      </c>
      <c r="M20" s="2" t="s">
        <v>28</v>
      </c>
      <c r="N20" t="s">
        <v>131</v>
      </c>
      <c r="O20">
        <v>4</v>
      </c>
      <c r="P20">
        <v>4</v>
      </c>
      <c r="Q20">
        <v>0</v>
      </c>
      <c r="R20">
        <v>0</v>
      </c>
      <c r="S20">
        <v>1</v>
      </c>
      <c r="T20">
        <v>0</v>
      </c>
      <c r="U20">
        <v>0</v>
      </c>
      <c r="V20">
        <v>2</v>
      </c>
      <c r="W20">
        <v>0</v>
      </c>
      <c r="X20">
        <v>238</v>
      </c>
    </row>
    <row r="21" spans="1:24" ht="17.25" customHeight="1">
      <c r="A21">
        <v>24</v>
      </c>
      <c r="B21" t="s">
        <v>132</v>
      </c>
      <c r="C21" t="s">
        <v>133</v>
      </c>
      <c r="D21" t="s">
        <v>134</v>
      </c>
      <c r="E21" t="s">
        <v>90</v>
      </c>
      <c r="F21" t="str">
        <f t="shared" si="1"/>
        <v>/images/players/Midfielders/head/Finlay Pollock.webp</v>
      </c>
      <c r="G21" t="str">
        <f t="shared" si="0"/>
        <v>/images/players/Midfielders/full/Finlay Pollock.webp</v>
      </c>
      <c r="H21" s="2" t="s">
        <v>135</v>
      </c>
      <c r="I21">
        <v>21</v>
      </c>
      <c r="J21" t="s">
        <v>106</v>
      </c>
      <c r="K21" t="s">
        <v>26</v>
      </c>
      <c r="L21" t="s">
        <v>136</v>
      </c>
      <c r="M21" s="2" t="s">
        <v>28</v>
      </c>
      <c r="N21" t="s">
        <v>137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ht="17.25" customHeight="1">
      <c r="A22">
        <v>16</v>
      </c>
      <c r="B22" t="s">
        <v>138</v>
      </c>
      <c r="C22" t="s">
        <v>139</v>
      </c>
      <c r="D22" t="s">
        <v>104</v>
      </c>
      <c r="E22" t="s">
        <v>90</v>
      </c>
      <c r="F22" t="str">
        <f t="shared" si="1"/>
        <v>/images/players/Midfielders/head/Blair Spittal.webp</v>
      </c>
      <c r="G22" t="str">
        <f t="shared" si="0"/>
        <v>/images/players/Midfielders/full/Blair Spittal.webp</v>
      </c>
      <c r="H22" s="2" t="s">
        <v>140</v>
      </c>
      <c r="I22">
        <v>30</v>
      </c>
      <c r="J22" t="s">
        <v>66</v>
      </c>
      <c r="K22" t="s">
        <v>26</v>
      </c>
      <c r="L22" t="s">
        <v>27</v>
      </c>
      <c r="M22" s="2" t="s">
        <v>28</v>
      </c>
      <c r="N22" t="s">
        <v>141</v>
      </c>
      <c r="O22">
        <v>28</v>
      </c>
      <c r="P22">
        <v>44</v>
      </c>
      <c r="Q22">
        <v>2</v>
      </c>
      <c r="R22">
        <v>3</v>
      </c>
      <c r="S22">
        <v>3</v>
      </c>
      <c r="T22">
        <v>0</v>
      </c>
      <c r="U22">
        <v>0</v>
      </c>
      <c r="V22">
        <v>14</v>
      </c>
      <c r="W22">
        <v>11</v>
      </c>
      <c r="X22">
        <v>1415</v>
      </c>
    </row>
    <row r="23" spans="1:24" ht="17.25" customHeight="1">
      <c r="A23">
        <v>10</v>
      </c>
      <c r="B23" t="s">
        <v>194</v>
      </c>
      <c r="C23" t="s">
        <v>142</v>
      </c>
      <c r="D23" t="s">
        <v>143</v>
      </c>
      <c r="E23" t="s">
        <v>144</v>
      </c>
      <c r="F23" t="str">
        <f t="shared" si="1"/>
        <v>/images/players/Forwards/head/Claudio Braga.webp</v>
      </c>
      <c r="G23" t="str">
        <f t="shared" si="0"/>
        <v>/images/players/Forwards/full/Claudio Braga.webp</v>
      </c>
      <c r="H23" s="2" t="s">
        <v>145</v>
      </c>
      <c r="I23">
        <v>26</v>
      </c>
      <c r="J23" t="s">
        <v>122</v>
      </c>
      <c r="K23" t="s">
        <v>26</v>
      </c>
      <c r="L23" t="s">
        <v>56</v>
      </c>
      <c r="M23" s="2" t="s">
        <v>57</v>
      </c>
      <c r="N23" t="s">
        <v>146</v>
      </c>
      <c r="O23">
        <v>44</v>
      </c>
      <c r="P23">
        <v>44</v>
      </c>
      <c r="Q23">
        <v>17</v>
      </c>
      <c r="R23">
        <v>6</v>
      </c>
      <c r="S23">
        <v>2</v>
      </c>
      <c r="T23">
        <v>0</v>
      </c>
      <c r="U23">
        <v>0</v>
      </c>
      <c r="V23">
        <v>7</v>
      </c>
      <c r="W23">
        <v>31</v>
      </c>
      <c r="X23">
        <v>3225</v>
      </c>
    </row>
    <row r="24" spans="1:24" ht="17.25" customHeight="1">
      <c r="A24">
        <v>99</v>
      </c>
      <c r="B24" t="s">
        <v>147</v>
      </c>
      <c r="C24" t="s">
        <v>148</v>
      </c>
      <c r="D24" t="s">
        <v>149</v>
      </c>
      <c r="E24" t="s">
        <v>144</v>
      </c>
      <c r="F24" t="str">
        <f t="shared" si="1"/>
        <v>/images/players/Forwards/head/Islam Chesnokov.webp</v>
      </c>
      <c r="G24" t="str">
        <f t="shared" si="0"/>
        <v>/images/players/Forwards/full/Islam Chesnokov.webp</v>
      </c>
      <c r="H24" s="2" t="s">
        <v>150</v>
      </c>
      <c r="I24">
        <v>26</v>
      </c>
      <c r="J24" t="s">
        <v>151</v>
      </c>
      <c r="K24" t="s">
        <v>34</v>
      </c>
      <c r="L24" t="s">
        <v>152</v>
      </c>
      <c r="M24" s="2" t="s">
        <v>153</v>
      </c>
      <c r="N24" t="s">
        <v>102</v>
      </c>
      <c r="O24">
        <v>11</v>
      </c>
      <c r="P24">
        <v>16</v>
      </c>
      <c r="Q24">
        <v>1</v>
      </c>
      <c r="R24">
        <v>0</v>
      </c>
      <c r="S24">
        <v>2</v>
      </c>
      <c r="T24">
        <v>0</v>
      </c>
      <c r="U24">
        <v>0</v>
      </c>
      <c r="V24">
        <v>6</v>
      </c>
      <c r="W24">
        <v>4</v>
      </c>
      <c r="X24">
        <v>450</v>
      </c>
    </row>
    <row r="25" spans="1:24" ht="17.25" customHeight="1">
      <c r="A25">
        <v>17</v>
      </c>
      <c r="B25" t="s">
        <v>154</v>
      </c>
      <c r="C25" t="s">
        <v>155</v>
      </c>
      <c r="D25" t="s">
        <v>156</v>
      </c>
      <c r="E25" t="s">
        <v>144</v>
      </c>
      <c r="F25" t="str">
        <f t="shared" si="1"/>
        <v>/images/players/Forwards/head/Alan Forrest.webp</v>
      </c>
      <c r="G25" t="str">
        <f t="shared" si="0"/>
        <v>/images/players/Forwards/full/Alan Forrest.webp</v>
      </c>
      <c r="H25" s="2" t="s">
        <v>157</v>
      </c>
      <c r="I25">
        <v>29</v>
      </c>
      <c r="J25" t="s">
        <v>158</v>
      </c>
      <c r="K25" t="s">
        <v>26</v>
      </c>
      <c r="L25" t="s">
        <v>159</v>
      </c>
      <c r="M25" s="2" t="s">
        <v>36</v>
      </c>
      <c r="N25" t="s">
        <v>160</v>
      </c>
      <c r="O25">
        <v>17</v>
      </c>
      <c r="P25">
        <v>29</v>
      </c>
      <c r="Q25">
        <v>0</v>
      </c>
      <c r="R25">
        <v>1</v>
      </c>
      <c r="S25">
        <v>1</v>
      </c>
      <c r="T25">
        <v>0</v>
      </c>
      <c r="U25">
        <v>0</v>
      </c>
      <c r="V25">
        <v>11</v>
      </c>
      <c r="W25">
        <v>5</v>
      </c>
      <c r="X25">
        <v>570</v>
      </c>
    </row>
    <row r="26" spans="1:24" ht="17.25" customHeight="1">
      <c r="A26">
        <v>7</v>
      </c>
      <c r="B26" t="s">
        <v>161</v>
      </c>
      <c r="C26" t="s">
        <v>162</v>
      </c>
      <c r="D26" t="s">
        <v>143</v>
      </c>
      <c r="E26" t="s">
        <v>144</v>
      </c>
      <c r="F26" t="str">
        <f t="shared" si="1"/>
        <v>/images/players/Forwards/head/Elton Kabangu.webp</v>
      </c>
      <c r="G26" t="str">
        <f t="shared" si="0"/>
        <v>/images/players/Forwards/full/Elton Kabangu.webp</v>
      </c>
      <c r="H26" s="2" t="s">
        <v>163</v>
      </c>
      <c r="I26">
        <v>28</v>
      </c>
      <c r="J26" t="s">
        <v>78</v>
      </c>
      <c r="K26" t="s">
        <v>34</v>
      </c>
      <c r="L26" t="s">
        <v>56</v>
      </c>
      <c r="M26" s="2" t="s">
        <v>57</v>
      </c>
      <c r="N26" t="s">
        <v>68</v>
      </c>
      <c r="O26">
        <v>19</v>
      </c>
      <c r="P26">
        <v>34</v>
      </c>
      <c r="Q26">
        <v>1</v>
      </c>
      <c r="R26">
        <v>1</v>
      </c>
      <c r="S26">
        <v>1</v>
      </c>
      <c r="T26">
        <v>0</v>
      </c>
      <c r="U26">
        <v>0</v>
      </c>
      <c r="V26">
        <v>17</v>
      </c>
      <c r="W26">
        <v>2</v>
      </c>
      <c r="X26">
        <v>313</v>
      </c>
    </row>
    <row r="27" spans="1:24" ht="17.25" customHeight="1">
      <c r="A27">
        <v>11</v>
      </c>
      <c r="B27" t="s">
        <v>164</v>
      </c>
      <c r="C27" t="s">
        <v>165</v>
      </c>
      <c r="D27" t="s">
        <v>143</v>
      </c>
      <c r="E27" t="s">
        <v>144</v>
      </c>
      <c r="F27" t="str">
        <f t="shared" si="1"/>
        <v>/images/players/Forwards/head/Pierre Landry Kabore.webp</v>
      </c>
      <c r="G27" t="str">
        <f t="shared" si="0"/>
        <v>/images/players/Forwards/full/Pierre Landry Kabore.webp</v>
      </c>
      <c r="H27" s="2" t="s">
        <v>166</v>
      </c>
      <c r="I27">
        <v>24</v>
      </c>
      <c r="J27" t="s">
        <v>72</v>
      </c>
      <c r="K27" t="s">
        <v>34</v>
      </c>
      <c r="L27" t="s">
        <v>167</v>
      </c>
      <c r="M27" s="2" t="s">
        <v>57</v>
      </c>
      <c r="N27" t="s">
        <v>168</v>
      </c>
      <c r="O27">
        <v>27</v>
      </c>
      <c r="P27">
        <v>33</v>
      </c>
      <c r="Q27">
        <v>5</v>
      </c>
      <c r="R27">
        <v>2</v>
      </c>
      <c r="S27">
        <v>3</v>
      </c>
      <c r="T27">
        <v>0</v>
      </c>
      <c r="U27">
        <v>0</v>
      </c>
      <c r="V27">
        <v>12</v>
      </c>
      <c r="W27">
        <v>12</v>
      </c>
      <c r="X27">
        <v>1267</v>
      </c>
    </row>
    <row r="28" spans="1:24" ht="17.25" customHeight="1">
      <c r="A28">
        <v>29</v>
      </c>
      <c r="B28" t="s">
        <v>169</v>
      </c>
      <c r="C28" t="s">
        <v>170</v>
      </c>
      <c r="D28" t="s">
        <v>149</v>
      </c>
      <c r="E28" t="s">
        <v>144</v>
      </c>
      <c r="F28" t="str">
        <f t="shared" si="1"/>
        <v>/images/players/Forwards/head/Sabah Kerjota.webp</v>
      </c>
      <c r="G28" t="str">
        <f t="shared" si="0"/>
        <v>/images/players/Forwards/full/Sabah Kerjota.webp</v>
      </c>
      <c r="H28" s="2" t="s">
        <v>171</v>
      </c>
      <c r="I28">
        <v>24</v>
      </c>
      <c r="J28" t="s">
        <v>172</v>
      </c>
      <c r="K28" t="s">
        <v>34</v>
      </c>
      <c r="L28" t="s">
        <v>173</v>
      </c>
      <c r="M28" s="2" t="s">
        <v>57</v>
      </c>
      <c r="N28" t="s">
        <v>160</v>
      </c>
      <c r="O28">
        <v>19</v>
      </c>
      <c r="P28">
        <v>35</v>
      </c>
      <c r="Q28">
        <v>0</v>
      </c>
      <c r="R28">
        <v>2</v>
      </c>
      <c r="S28">
        <v>0</v>
      </c>
      <c r="T28">
        <v>0</v>
      </c>
      <c r="U28">
        <v>0</v>
      </c>
      <c r="V28">
        <v>19</v>
      </c>
      <c r="W28">
        <v>0</v>
      </c>
      <c r="X28">
        <v>245</v>
      </c>
    </row>
    <row r="29" spans="1:24" ht="17.25" customHeight="1">
      <c r="A29">
        <v>89</v>
      </c>
      <c r="B29" t="s">
        <v>174</v>
      </c>
      <c r="C29" t="s">
        <v>175</v>
      </c>
      <c r="D29" t="s">
        <v>156</v>
      </c>
      <c r="E29" t="s">
        <v>144</v>
      </c>
      <c r="F29" t="str">
        <f t="shared" si="1"/>
        <v>/images/players/Forwards/head/Alexandros Kyziridis.webp</v>
      </c>
      <c r="G29" t="str">
        <f t="shared" si="0"/>
        <v>/images/players/Forwards/full/Alexandros Kyziridis.webp</v>
      </c>
      <c r="H29" s="2" t="s">
        <v>176</v>
      </c>
      <c r="I29">
        <v>25</v>
      </c>
      <c r="J29" t="s">
        <v>48</v>
      </c>
      <c r="K29" t="s">
        <v>177</v>
      </c>
      <c r="L29" t="s">
        <v>56</v>
      </c>
      <c r="M29" s="2" t="s">
        <v>57</v>
      </c>
      <c r="N29" t="s">
        <v>178</v>
      </c>
      <c r="O29">
        <v>42</v>
      </c>
      <c r="P29">
        <v>44</v>
      </c>
      <c r="Q29">
        <v>6</v>
      </c>
      <c r="R29">
        <v>11</v>
      </c>
      <c r="S29">
        <v>5</v>
      </c>
      <c r="T29">
        <v>0</v>
      </c>
      <c r="U29">
        <v>0</v>
      </c>
      <c r="V29">
        <v>7</v>
      </c>
      <c r="W29">
        <v>24</v>
      </c>
      <c r="X29">
        <v>3064</v>
      </c>
    </row>
    <row r="30" spans="1:24" ht="17.25" customHeight="1">
      <c r="A30">
        <v>74</v>
      </c>
      <c r="B30" t="s">
        <v>179</v>
      </c>
      <c r="C30" t="s">
        <v>180</v>
      </c>
      <c r="D30" t="s">
        <v>156</v>
      </c>
      <c r="E30" t="s">
        <v>144</v>
      </c>
      <c r="F30" t="str">
        <f t="shared" si="1"/>
        <v>/images/players/Forwards/head/Rogers Mato.webp</v>
      </c>
      <c r="G30" t="str">
        <f t="shared" si="0"/>
        <v>/images/players/Forwards/full/Rogers Mato.webp</v>
      </c>
      <c r="H30" s="2" t="s">
        <v>181</v>
      </c>
      <c r="I30">
        <v>22</v>
      </c>
      <c r="J30" t="s">
        <v>55</v>
      </c>
      <c r="K30" t="s">
        <v>26</v>
      </c>
      <c r="L30" t="s">
        <v>182</v>
      </c>
      <c r="M30" s="2" t="s">
        <v>183</v>
      </c>
      <c r="N30" t="s">
        <v>62</v>
      </c>
      <c r="O30">
        <v>3</v>
      </c>
      <c r="P30">
        <v>11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  <c r="X30">
        <v>14</v>
      </c>
    </row>
    <row r="31" spans="1:24" ht="17.25" customHeight="1">
      <c r="A31">
        <v>9</v>
      </c>
      <c r="B31" t="s">
        <v>184</v>
      </c>
      <c r="C31" t="s">
        <v>185</v>
      </c>
      <c r="D31" t="s">
        <v>143</v>
      </c>
      <c r="E31" t="s">
        <v>144</v>
      </c>
      <c r="F31" t="str">
        <f t="shared" si="1"/>
        <v>/images/players/Forwards/head/Lawrence Shankland.webp</v>
      </c>
      <c r="G31" t="str">
        <f t="shared" si="0"/>
        <v>/images/players/Forwards/full/Lawrence Shankland.webp</v>
      </c>
      <c r="H31" s="2" t="s">
        <v>186</v>
      </c>
      <c r="I31">
        <v>30</v>
      </c>
      <c r="J31" t="s">
        <v>151</v>
      </c>
      <c r="K31" t="s">
        <v>26</v>
      </c>
      <c r="L31" t="s">
        <v>187</v>
      </c>
      <c r="M31" s="2" t="s">
        <v>57</v>
      </c>
      <c r="N31" t="s">
        <v>188</v>
      </c>
      <c r="O31">
        <v>34</v>
      </c>
      <c r="P31">
        <v>35</v>
      </c>
      <c r="Q31">
        <v>20</v>
      </c>
      <c r="R31">
        <v>6</v>
      </c>
      <c r="S31">
        <v>4</v>
      </c>
      <c r="T31">
        <v>0</v>
      </c>
      <c r="U31">
        <v>0</v>
      </c>
      <c r="V31">
        <v>1</v>
      </c>
      <c r="W31">
        <v>16</v>
      </c>
      <c r="X31">
        <v>2944</v>
      </c>
    </row>
    <row r="32" spans="1:24" ht="17.25" customHeight="1">
      <c r="A32">
        <v>21</v>
      </c>
      <c r="B32" t="s">
        <v>197</v>
      </c>
      <c r="C32" t="s">
        <v>198</v>
      </c>
      <c r="D32" t="s">
        <v>143</v>
      </c>
      <c r="E32" t="s">
        <v>144</v>
      </c>
      <c r="F32" t="str">
        <f>"/images/players/"&amp;E32&amp;"/head/"&amp;B32&amp;".webp"</f>
        <v>/images/players/Forwards/head/James Wilson.webp</v>
      </c>
      <c r="G32" t="str">
        <f>"/images/players/"&amp;E32&amp;"/full/"&amp;B32&amp;".webp"</f>
        <v>/images/players/Forwards/full/James Wilson.webp</v>
      </c>
      <c r="H32" s="2">
        <v>39147</v>
      </c>
      <c r="I32">
        <v>19</v>
      </c>
      <c r="J32" t="s">
        <v>199</v>
      </c>
      <c r="K32" t="s">
        <v>26</v>
      </c>
      <c r="L32" s="1">
        <v>45474</v>
      </c>
      <c r="M32" s="2">
        <v>46538</v>
      </c>
      <c r="N32" t="s">
        <v>200</v>
      </c>
      <c r="O32">
        <v>10</v>
      </c>
      <c r="P32">
        <v>14</v>
      </c>
      <c r="Q32">
        <v>2</v>
      </c>
      <c r="R32">
        <v>0</v>
      </c>
      <c r="S32">
        <v>0</v>
      </c>
      <c r="T32">
        <v>0</v>
      </c>
      <c r="U32">
        <v>0</v>
      </c>
      <c r="V32">
        <v>8</v>
      </c>
      <c r="W32">
        <v>0</v>
      </c>
      <c r="X32">
        <v>363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Hearts Squad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Lyall</cp:lastModifiedBy>
  <dcterms:created xsi:type="dcterms:W3CDTF">2026-05-19T18:58:37Z</dcterms:created>
  <dcterms:modified xsi:type="dcterms:W3CDTF">2026-05-20T18:16:12Z</dcterms:modified>
</cp:coreProperties>
</file>